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dmissions Contacts" sheetId="2" state="visible" r:id="rId4"/>
    <sheet name="Named Leaders (LinkedIn)" sheetId="3" state="visible" r:id="rId5"/>
    <sheet name="Summary" sheetId="4" state="visible" r:id="rId6"/>
  </sheets>
  <definedNames>
    <definedName function="false" hidden="true" localSheetId="1" name="_xlnm._FilterDatabase" vbProcedure="false">'Admissions Contacts'!$A$4:$T$24</definedName>
    <definedName function="false" hidden="true" localSheetId="2" name="_xlnm._FilterDatabase" vbProcedure="false">'Named Leaders (LinkedIn)'!$A$4:$K$11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<sst xmlns="http://schemas.openxmlformats.org/spreadsheetml/2006/main" count="432" uniqueCount="310">
  <si>
    <t xml:space="preserve">How to use this workbook</t>
  </si>
  <si>
    <t xml:space="preserve">• 'Admissions Contacts': one row per institute or campus, with the best public admissions contact found.</t>
  </si>
  <si>
    <t xml:space="preserve">• 'Named Leaders (LinkedIn)': admissions leaders identified by name. Useful for partnership outreach and for sourcing candidates for FIIB's Head – Admissions &amp; Outreach role.</t>
  </si>
  <si>
    <t xml:space="preserve">• Yellow cells (Outreach Status, Date Contacted, Contacted By, Response) are for your team to update. Status has a drop-down.</t>
  </si>
  <si>
    <t xml:space="preserve">Confidence key</t>
  </si>
  <si>
    <t xml:space="preserve">• High: from the institute's own website or a dedicated head-of-admissions mailbox.</t>
  </si>
  <si>
    <t xml:space="preserve">• Medium: consistent across two or more recent listings, or a named person on LinkedIn within the last ~6 months.</t>
  </si>
  <si>
    <t xml:space="preserve">• Low: single third-party listing, older data, or no admissions contact found (general / Director's office route given).</t>
  </si>
  <si>
    <t xml:space="preserve">Limits of this research</t>
  </si>
  <si>
    <t xml:space="preserve">• Most B-schools do not publish the name of their admissions head. Where none was found, the Director's office or the official admissions line is given instead.</t>
  </si>
  <si>
    <t xml:space="preserve">• Only business contact details published by the institutes or the people themselves are included. No personal mobile numbers were sourced.</t>
  </si>
  <si>
    <t xml:space="preserve">• Institute websites could not be opened directly from the research environment; details come from search results of official pages, Careers360, Shiksha, CollegeBatch and LinkedIn.</t>
  </si>
  <si>
    <t xml:space="preserve">• Phone numbers and emails change each admission cycle. Call the main line and ask for the 'PGDM admissions head' before relying on any entry.</t>
  </si>
  <si>
    <t xml:space="preserve">• For LinkedIn rows marked 'Search LinkedIn', the profile URL was not in public results; search the name plus institute.</t>
  </si>
  <si>
    <t xml:space="preserve">FIIB – Competitor B-School Admissions Contacts (Delhi NCR)</t>
  </si>
  <si>
    <t xml:space="preserve">Compiled 08-Oct-2026 from public sources (official sites, Careers360/Shiksha listings, LinkedIn). Yellow columns are for your team to fill in. Verify by phone before use.</t>
  </si>
  <si>
    <t xml:space="preserve">S.No</t>
  </si>
  <si>
    <t xml:space="preserve">Institute</t>
  </si>
  <si>
    <t xml:space="preserve">Campus / Location</t>
  </si>
  <si>
    <t xml:space="preserve">List</t>
  </si>
  <si>
    <t xml:space="preserve">Admissions Head / Contact Person</t>
  </si>
  <si>
    <t xml:space="preserve">Designation</t>
  </si>
  <si>
    <t xml:space="preserve">Admissions Email</t>
  </si>
  <si>
    <t xml:space="preserve">Admissions Phone</t>
  </si>
  <si>
    <t xml:space="preserve">Other Phone / Toll-free</t>
  </si>
  <si>
    <t xml:space="preserve">LinkedIn</t>
  </si>
  <si>
    <t xml:space="preserve">Website</t>
  </si>
  <si>
    <t xml:space="preserve">Address</t>
  </si>
  <si>
    <t xml:space="preserve">Source(s)</t>
  </si>
  <si>
    <t xml:space="preserve">Confidence</t>
  </si>
  <si>
    <t xml:space="preserve">Research Note</t>
  </si>
  <si>
    <t xml:space="preserve">Last Checked</t>
  </si>
  <si>
    <t xml:space="preserve">Outreach Status</t>
  </si>
  <si>
    <t xml:space="preserve">Date Contacted</t>
  </si>
  <si>
    <t xml:space="preserve">Contacted By</t>
  </si>
  <si>
    <t xml:space="preserve">Response / Next Step</t>
  </si>
  <si>
    <t xml:space="preserve">Jagannath International Management School (JIMS)</t>
  </si>
  <si>
    <t xml:space="preserve">Kalkaji, New Delhi</t>
  </si>
  <si>
    <t xml:space="preserve">Requested</t>
  </si>
  <si>
    <t xml:space="preserve">Sheetal Kumra</t>
  </si>
  <si>
    <t xml:space="preserve">Admissions contact person (as listed for PGDM 2024 cycle)</t>
  </si>
  <si>
    <t xml:space="preserve">admission.kj@jagannath.org</t>
  </si>
  <si>
    <t xml:space="preserve">011-40619200; 9868239472</t>
  </si>
  <si>
    <t xml:space="preserve">9953892274; 011-40619207/08</t>
  </si>
  <si>
    <t xml:space="preserve">https://in.linkedin.com/company/jims-kalkaji</t>
  </si>
  <si>
    <t xml:space="preserve">jagannath.org</t>
  </si>
  <si>
    <t xml:space="preserve">MOR Pocket 105, Kalkaji, New Delhi 110019</t>
  </si>
  <si>
    <t xml:space="preserve">Careers360 PGDM 2024 admissions notice; Careers360/GetMyUni 2025-26 listings; LinkedIn company page</t>
  </si>
  <si>
    <t xml:space="preserve">Medium</t>
  </si>
  <si>
    <t xml:space="preserve">No head-of-admissions title published. Director listed on LinkedIn page: Dr. Anuj Verma. Confirm whether Ms Kumra still leads PGDM admissions.</t>
  </si>
  <si>
    <t xml:space="preserve">08-Oct-2026</t>
  </si>
  <si>
    <t xml:space="preserve">Not started</t>
  </si>
  <si>
    <t xml:space="preserve">Jagan Institute of Management Studies (JIMS)</t>
  </si>
  <si>
    <t xml:space="preserve">Rohini Sector 5, Delhi</t>
  </si>
  <si>
    <t xml:space="preserve">Not publicly listed</t>
  </si>
  <si>
    <t xml:space="preserve">Director: Dr. Jugal Kishore Goyal (route via Director's office)</t>
  </si>
  <si>
    <t xml:space="preserve">admissions@jimsindia.org (unverified)</t>
  </si>
  <si>
    <t xml:space="preserve">9871097501 (third-party listing)</t>
  </si>
  <si>
    <t xml:space="preserve">https://www.linkedin.com/in/jugal-kishore-goyal-8771995b/</t>
  </si>
  <si>
    <t xml:space="preserve">jimsindia.org / jimsrohini.org</t>
  </si>
  <si>
    <t xml:space="preserve">3, Institutional Area, Sector 5, Rohini (near Rithala Metro), Delhi 110085</t>
  </si>
  <si>
    <t xml:space="preserve">Careers360 2027 admission article; LinkedIn (Director profile; staff list incl. 'Marketing &amp; Admission Manager')</t>
  </si>
  <si>
    <t xml:space="preserve">Low</t>
  </si>
  <si>
    <t xml:space="preserve">LinkedIn shows a 'Marketing &amp; Admission Manager' and admission counsellor (Preeti Kandpal) on staff; no head named. Call switchboard and ask for PGDM admissions in-charge.</t>
  </si>
  <si>
    <t xml:space="preserve">Vasant Kunj, New Delhi</t>
  </si>
  <si>
    <t xml:space="preserve">Director: Dr. K. Ravi Dhar (directory listing)</t>
  </si>
  <si>
    <t xml:space="preserve">Not found (listing garbled)</t>
  </si>
  <si>
    <t xml:space="preserve">011-40619300</t>
  </si>
  <si>
    <t xml:space="preserve">011-40619321</t>
  </si>
  <si>
    <t xml:space="preserve">jimsd.org</t>
  </si>
  <si>
    <t xml:space="preserve">Plot 3, Phase II, Institutional Area, Vasant Kunj, New Delhi 110070</t>
  </si>
  <si>
    <t xml:space="preserve">youth4work / CollegeBatch / Collegedunia listings</t>
  </si>
  <si>
    <t xml:space="preserve">Campus is mainly UG (BBA/BCA). JIMS Vasant Kunj II (jimssouthdelhi.com, +91-9990474829) is a separate institute.</t>
  </si>
  <si>
    <t xml:space="preserve">New Delhi Institute of Management (NDIM)</t>
  </si>
  <si>
    <t xml:space="preserve">Tughlakabad Institutional Area, New Delhi</t>
  </si>
  <si>
    <t xml:space="preserve">Chairman &amp; CEO: Mr. Vishwa Mohan Bansal</t>
  </si>
  <si>
    <t xml:space="preserve">Not found (check ndimdelhi.org)</t>
  </si>
  <si>
    <t xml:space="preserve">8882468367 (admission query)</t>
  </si>
  <si>
    <t xml:space="preserve">9910695359 (general); 011-40111000</t>
  </si>
  <si>
    <t xml:space="preserve">https://www.linkedin.com/in/ndim-delhi-92368b53/</t>
  </si>
  <si>
    <t xml:space="preserve">ndimdelhi.org</t>
  </si>
  <si>
    <t xml:space="preserve">50(B&amp;C), 60 Tughlakabad Institutional Area, behind Batra Hospital, MB Road, New Delhi 110062</t>
  </si>
  <si>
    <t xml:space="preserve">Shiksha; CollegeBatch; MBAUniverse (Director/Faculty); LinkedIn</t>
  </si>
  <si>
    <t xml:space="preserve">Phone numbers consistent across 2 listings. Ask for PGDM admissions head on the admission line.</t>
  </si>
  <si>
    <t xml:space="preserve">Bennett University – School of Management (Times Group)</t>
  </si>
  <si>
    <t xml:space="preserve">TechZone II, Greater Noida</t>
  </si>
  <si>
    <t xml:space="preserve">Hitankshi Thukral</t>
  </si>
  <si>
    <t xml:space="preserve">Vice President – Admissions</t>
  </si>
  <si>
    <t xml:space="preserve">admissions@bennett.edu.in</t>
  </si>
  <si>
    <t xml:space="preserve">1800-103-8484</t>
  </si>
  <si>
    <t xml:space="preserve">8800444422</t>
  </si>
  <si>
    <t xml:space="preserve">Search LinkedIn: 'Hitankshi Thukral Bennett'; https://www.linkedin.com/school/bennett-university/</t>
  </si>
  <si>
    <t xml:space="preserve">bennett.edu.in</t>
  </si>
  <si>
    <t xml:space="preserve">Plot Nos 8-11, TechZone II, Greater Noida, UP 201310</t>
  </si>
  <si>
    <t xml:space="preserve">LinkedIn posts/reposts naming her as VP Admissions (~6 months old); Careers360 2025; mba.com</t>
  </si>
  <si>
    <t xml:space="preserve">Named leader of the university-wide admissions team. Bennett also hires 'Deputy Manager/Manager – Admission Outreach' roles.</t>
  </si>
  <si>
    <t xml:space="preserve">FOSTIIMA Business School</t>
  </si>
  <si>
    <t xml:space="preserve">Dwarka Sector 9, New Delhi</t>
  </si>
  <si>
    <t xml:space="preserve">Director: Dr. Aditya Vij; Founder &amp; Exec. Chairman: Mr. Anil Somani</t>
  </si>
  <si>
    <t xml:space="preserve">info@fostiima.org</t>
  </si>
  <si>
    <t xml:space="preserve">011-46126000</t>
  </si>
  <si>
    <t xml:space="preserve">https://www.linkedin.com/in/dr-aditya-vij-625bb7207/</t>
  </si>
  <si>
    <t xml:space="preserve">fostiima.org</t>
  </si>
  <si>
    <t xml:space="preserve">Plot No. HAF-1, Dwarka Sector 9, New Delhi 110077</t>
  </si>
  <si>
    <t xml:space="preserve">CampusOption; Careers360 2025; LinkedIn school page</t>
  </si>
  <si>
    <t xml:space="preserve">A LinkedIn profile shows a Senior Manager – Admissions here from 2017 to 2021 (left). Current head not named.</t>
  </si>
  <si>
    <t xml:space="preserve">IILM University</t>
  </si>
  <si>
    <t xml:space="preserve">Golf Course Road, Sector 53, Gurugram</t>
  </si>
  <si>
    <t xml:space="preserve">Admissions office</t>
  </si>
  <si>
    <t xml:space="preserve">admissions.iilmu@iilm.edu</t>
  </si>
  <si>
    <t xml:space="preserve">08065905223 (MBA)</t>
  </si>
  <si>
    <t xml:space="preserve">08065905224 (UG)</t>
  </si>
  <si>
    <t xml:space="preserve">https://www.linkedin.com/school/iilm-university/</t>
  </si>
  <si>
    <t xml:space="preserve">iilm.edu</t>
  </si>
  <si>
    <t xml:space="preserve">1, Knowledge Centre, Golf Course Road, Sector 53, Gurugram, Haryana 122003</t>
  </si>
  <si>
    <t xml:space="preserve">iilm.edu/contact and iilm.edu/admissions (official)</t>
  </si>
  <si>
    <t xml:space="preserve">Official programme-specific lines. IILM also has Greater Noida and Ghaziabad-area campuses.</t>
  </si>
  <si>
    <t xml:space="preserve">IILM Institute for Higher Education (PGDM)</t>
  </si>
  <si>
    <t xml:space="preserve">Lodhi Road, New Delhi</t>
  </si>
  <si>
    <t xml:space="preserve">Not found (see iilmlr.ac.in)</t>
  </si>
  <si>
    <t xml:space="preserve">Not found</t>
  </si>
  <si>
    <t xml:space="preserve">iilmlr.ac.in</t>
  </si>
  <si>
    <t xml:space="preserve">Lodhi Road Institutional Area, New Delhi</t>
  </si>
  <si>
    <t xml:space="preserve">iilmlr.ac.in admission FAQ</t>
  </si>
  <si>
    <t xml:space="preserve">Direct FIIB-style PGDM competitor. Contact details not exposed in search results; open the site's Contact page.</t>
  </si>
  <si>
    <t xml:space="preserve">Institute of Management Technology (IMT)</t>
  </si>
  <si>
    <t xml:space="preserve">Ghaziabad</t>
  </si>
  <si>
    <t xml:space="preserve">Requested (Ghaziabad)</t>
  </si>
  <si>
    <t xml:space="preserve">Not publicly named</t>
  </si>
  <si>
    <t xml:space="preserve">Head – Admissions, IMT Group (role confirmed in IMT LinkedIn post, name not given)</t>
  </si>
  <si>
    <t xml:space="preserve">admissions@imt.edu</t>
  </si>
  <si>
    <t xml:space="preserve">0120-4083306; 0120-4083380</t>
  </si>
  <si>
    <t xml:space="preserve">+91-120-4083200</t>
  </si>
  <si>
    <t xml:space="preserve">https://www.linkedin.com/school/institute-of-management-technology-ghaziabad/</t>
  </si>
  <si>
    <t xml:space="preserve">imt.edu / admissions.imt.edu</t>
  </si>
  <si>
    <t xml:space="preserve">Raj Nagar, Ghaziabad, UP (verify)</t>
  </si>
  <si>
    <t xml:space="preserve">mba.com; CollegeBatch; IMT Ghaziabad LinkedIn 'IMT Connect Series' post</t>
  </si>
  <si>
    <t xml:space="preserve">Group-level Head Admissions covers Ghaziabad, Nagpur and Hyderabad. Email is consistent across sources.</t>
  </si>
  <si>
    <t xml:space="preserve">Institute of Management Studies (IMS)</t>
  </si>
  <si>
    <t xml:space="preserve">Lal Quan, Ghaziabad</t>
  </si>
  <si>
    <t xml:space="preserve">Head – Admissions (name not published)</t>
  </si>
  <si>
    <t xml:space="preserve">Head – Admissions</t>
  </si>
  <si>
    <t xml:space="preserve">Head.admissions@imsgzb.ac.in</t>
  </si>
  <si>
    <t xml:space="preserve">9999618155</t>
  </si>
  <si>
    <t xml:space="preserve">0120-4170600 / 4170626; toll-free 1800-102-4170</t>
  </si>
  <si>
    <t xml:space="preserve">https://www.linkedin.com/in/imsghaziabadadmissions/</t>
  </si>
  <si>
    <t xml:space="preserve">ims-ghaziabad.ac.in</t>
  </si>
  <si>
    <t xml:space="preserve">G.T. Road, Lal Quan, Ghaziabad, UP 201009</t>
  </si>
  <si>
    <t xml:space="preserve">Careers360 PGDM 2024 &amp; 2025 notices</t>
  </si>
  <si>
    <t xml:space="preserve">High</t>
  </si>
  <si>
    <t xml:space="preserve">Dedicated head-of-admissions mailbox. 2023 notice listed kusum@imsgzb.ac.in / +91-8802286309.</t>
  </si>
  <si>
    <t xml:space="preserve">Jaipuria School of Business</t>
  </si>
  <si>
    <t xml:space="preserve">Indirapuram, Ghaziabad</t>
  </si>
  <si>
    <t xml:space="preserve">Siddharth Singh</t>
  </si>
  <si>
    <t xml:space="preserve">Head – Admission (newly joined, per his LinkedIn post)</t>
  </si>
  <si>
    <t xml:space="preserve">admissions@jaipuria.edu.in; mba@jaipuria.edu.in</t>
  </si>
  <si>
    <t xml:space="preserve">0120-4550100</t>
  </si>
  <si>
    <t xml:space="preserve">9958222099; 9958077088 (2021)</t>
  </si>
  <si>
    <t xml:space="preserve">https://www.linkedin.com/in/siddharth2410/</t>
  </si>
  <si>
    <t xml:space="preserve">jaipuria.edu.in</t>
  </si>
  <si>
    <t xml:space="preserve">Shakti Khand IV, Indirapuram, Ghaziabad, UP</t>
  </si>
  <si>
    <t xml:space="preserve">LinkedIn post (~34 days old); jaipuria.edu.in contact page</t>
  </si>
  <si>
    <t xml:space="preserve">Previously at Meritto (admissions CRM). Recently joined, so a fresh lead.</t>
  </si>
  <si>
    <t xml:space="preserve">Lal Bahadur Shastri Institute of Management (LBSIM)</t>
  </si>
  <si>
    <t xml:space="preserve">Dwarka Sector 11, New Delhi</t>
  </si>
  <si>
    <t xml:space="preserve">Added competitor</t>
  </si>
  <si>
    <t xml:space="preserve">Sachin Khera</t>
  </si>
  <si>
    <t xml:space="preserve">Sr. Administrative Officer &amp; Admission Coordinator</t>
  </si>
  <si>
    <t xml:space="preserve">admission@lbsim.ac.in</t>
  </si>
  <si>
    <t xml:space="preserve">+91-9811320320; 011-25307777</t>
  </si>
  <si>
    <t xml:space="preserve">Counsellor Ms Vimla Bhasin: +91-8840190140 / 011-25307781; Reception 011-25307700</t>
  </si>
  <si>
    <t xml:space="preserve">https://www.linkedin.com/in/sachinkhera78/</t>
  </si>
  <si>
    <t xml:space="preserve">lbsim.ac.in</t>
  </si>
  <si>
    <t xml:space="preserve">Plot 11/07, Dwarka Sector 11, New Delhi 110075</t>
  </si>
  <si>
    <t xml:space="preserve">lbsim.ac.in Admission FAQ/contact (official); LinkedIn</t>
  </si>
  <si>
    <t xml:space="preserve">Named on the official site. Office hours Mon–Sat, 10am–6pm.</t>
  </si>
  <si>
    <t xml:space="preserve">International Management Institute (IMI)</t>
  </si>
  <si>
    <t xml:space="preserve">Qutab Institutional Area, New Delhi</t>
  </si>
  <si>
    <t xml:space="preserve">Director: Dr. Jones Mathew</t>
  </si>
  <si>
    <t xml:space="preserve">admissions@imi.edu</t>
  </si>
  <si>
    <t xml:space="preserve">011-47194176</t>
  </si>
  <si>
    <t xml:space="preserve">011-47194194; 011-47194203; 011-26528277</t>
  </si>
  <si>
    <t xml:space="preserve">https://www.linkedin.com/school/international-management-institute/</t>
  </si>
  <si>
    <t xml:space="preserve">imi.edu/delhi</t>
  </si>
  <si>
    <t xml:space="preserve">B-10, Qutab Institutional Area, Tara Crescent, New Delhi 110016</t>
  </si>
  <si>
    <t xml:space="preserve">Careers360 2023–2025 admission notices</t>
  </si>
  <si>
    <t xml:space="preserve">Admissions run with a student Admissions Committee plus admissions office.</t>
  </si>
  <si>
    <t xml:space="preserve">Birla Institute of Management Technology (BIMTECH)</t>
  </si>
  <si>
    <t xml:space="preserve">Knowledge Park II, Greater Noida</t>
  </si>
  <si>
    <t xml:space="preserve">Director: Dr. Prabina Rajib</t>
  </si>
  <si>
    <t xml:space="preserve">admission@bimtech.ac.in (third-party; confirm on site)</t>
  </si>
  <si>
    <t xml:space="preserve">+91-120-6843000 to 10</t>
  </si>
  <si>
    <t xml:space="preserve">9355024501 to 10; toll-free 1800-5723-999</t>
  </si>
  <si>
    <t xml:space="preserve">https://www.linkedin.com/school/bimtechgnoida/</t>
  </si>
  <si>
    <t xml:space="preserve">bimtech.ac.in</t>
  </si>
  <si>
    <t xml:space="preserve">Plot No. 5, Knowledge Park II, Greater Noida, UP 201306</t>
  </si>
  <si>
    <t xml:space="preserve">bimtech.ac.in/contact (official phones); CollegeAdmission.in (email)</t>
  </si>
  <si>
    <t xml:space="preserve">Jaipuria Institute of Management</t>
  </si>
  <si>
    <t xml:space="preserve">Sector 62, Noida</t>
  </si>
  <si>
    <t xml:space="preserve">Admissions office (Dr. Hemendra Gupta was Chairperson – Admission in 2021)</t>
  </si>
  <si>
    <t xml:space="preserve">noida@jaipuria.ac.in</t>
  </si>
  <si>
    <t xml:space="preserve">+91-8800495724</t>
  </si>
  <si>
    <t xml:space="preserve">0120-4638300</t>
  </si>
  <si>
    <t xml:space="preserve">https://in.linkedin.com/school/jaipuria-institute-of-management/</t>
  </si>
  <si>
    <t xml:space="preserve">jaipuria.ac.in</t>
  </si>
  <si>
    <t xml:space="preserve">A-32A, Sector 62, Noida, UP</t>
  </si>
  <si>
    <t xml:space="preserve">jaipuria.ac.in admission process page (2026); Careers360 2021</t>
  </si>
  <si>
    <t xml:space="preserve">Each Jaipuria campus runs its own admissions head.</t>
  </si>
  <si>
    <t xml:space="preserve">ITS – Institute of Technology &amp; Science</t>
  </si>
  <si>
    <t xml:space="preserve">Mohan Nagar, Ghaziabad</t>
  </si>
  <si>
    <t xml:space="preserve">admissions.mn@its.edu.in</t>
  </si>
  <si>
    <t xml:space="preserve">0120-2811000</t>
  </si>
  <si>
    <t xml:space="preserve">8447744041/42/43/44; toll-free 1800-3095855</t>
  </si>
  <si>
    <t xml:space="preserve">its.edu.in</t>
  </si>
  <si>
    <t xml:space="preserve">Goodwill Building, G.T. Road, Mohan Nagar, Ghaziabad, UP 201007</t>
  </si>
  <si>
    <t xml:space="preserve">GetMyUni; CampusOption; Admistay</t>
  </si>
  <si>
    <t xml:space="preserve">Email consistent across sources.</t>
  </si>
  <si>
    <t xml:space="preserve">Asia-Pacific Institute of Management</t>
  </si>
  <si>
    <t xml:space="preserve">Jasola, New Delhi</t>
  </si>
  <si>
    <t xml:space="preserve">Not found (apply.asiapacific.edu)</t>
  </si>
  <si>
    <t xml:space="preserve">011-42094800</t>
  </si>
  <si>
    <t xml:space="preserve">Toll-free 1800-113334; WhatsApp +91-9289867497</t>
  </si>
  <si>
    <t xml:space="preserve">asiapacific.edu</t>
  </si>
  <si>
    <t xml:space="preserve">3 &amp; 4, GD Birla Marg, Institutional Area, Jasola, New Delhi 110025</t>
  </si>
  <si>
    <t xml:space="preserve">Careers360 2024 &amp; 2025 notices</t>
  </si>
  <si>
    <t xml:space="preserve">Delhi School of Business (VIPS-TC)</t>
  </si>
  <si>
    <t xml:space="preserve">Pitampura, Delhi</t>
  </si>
  <si>
    <t xml:space="preserve">info@dsb.edu.in (general)</t>
  </si>
  <si>
    <t xml:space="preserve">+91-8448589526</t>
  </si>
  <si>
    <t xml:space="preserve">+91-8287434626; +91-9354572054</t>
  </si>
  <si>
    <t xml:space="preserve">https://www.linkedin.com/in/dsbdelhi/</t>
  </si>
  <si>
    <t xml:space="preserve">dsb.edu.in</t>
  </si>
  <si>
    <t xml:space="preserve">AU Block, Outer Ring Road, Pitampura, Delhi 110034</t>
  </si>
  <si>
    <t xml:space="preserve">dsb.edu.in PGDM admission page (official)</t>
  </si>
  <si>
    <t xml:space="preserve">Numbers taken from the official site.</t>
  </si>
  <si>
    <t xml:space="preserve">G.L. Bajaj Institute of Management &amp; Research (GLBIMR)</t>
  </si>
  <si>
    <t xml:space="preserve">Knowledge Park III, Greater Noida</t>
  </si>
  <si>
    <t xml:space="preserve">admissions@glbimr.org</t>
  </si>
  <si>
    <t xml:space="preserve">+91-8860333801</t>
  </si>
  <si>
    <t xml:space="preserve">+91-7835005154</t>
  </si>
  <si>
    <t xml:space="preserve">https://www.linkedin.com/in/glbimr/</t>
  </si>
  <si>
    <t xml:space="preserve">glbimr.org</t>
  </si>
  <si>
    <t xml:space="preserve">Knowledge Park III, Greater Noida, UP 201306</t>
  </si>
  <si>
    <t xml:space="preserve">BODMAS Education admission page</t>
  </si>
  <si>
    <t xml:space="preserve">Third-party source only.</t>
  </si>
  <si>
    <t xml:space="preserve">Apeejay School of Management</t>
  </si>
  <si>
    <t xml:space="preserve">Dwarka Sector 8, New Delhi</t>
  </si>
  <si>
    <t xml:space="preserve">011-25363979</t>
  </si>
  <si>
    <t xml:space="preserve">011-25363980 / 83 / 86</t>
  </si>
  <si>
    <t xml:space="preserve">asm.apeejay.edu</t>
  </si>
  <si>
    <t xml:space="preserve">Sector VIII, Institutional Area, Dwarka, New Delhi 110077</t>
  </si>
  <si>
    <t xml:space="preserve">Admistay; Tribune admission notice; AIMA MAT brochure (2026-28 admissions open)</t>
  </si>
  <si>
    <t xml:space="preserve">Admissions Leaders Identified by Name</t>
  </si>
  <si>
    <t xml:space="preserve">People in admissions leadership roles at Delhi NCR B-schools, found on LinkedIn and institute pages. Titles change often; check the live profile before contacting.</t>
  </si>
  <si>
    <t xml:space="preserve">Name</t>
  </si>
  <si>
    <t xml:space="preserve">Current / Last Known Role</t>
  </si>
  <si>
    <t xml:space="preserve">Organisation</t>
  </si>
  <si>
    <t xml:space="preserve">Contact Route</t>
  </si>
  <si>
    <t xml:space="preserve">Evidence</t>
  </si>
  <si>
    <t xml:space="preserve">Why Relevant</t>
  </si>
  <si>
    <t xml:space="preserve">Notes</t>
  </si>
  <si>
    <t xml:space="preserve">Bennett University, Greater Noida</t>
  </si>
  <si>
    <t xml:space="preserve">Search LinkedIn: 'Hitankshi Thukral'</t>
  </si>
  <si>
    <t xml:space="preserve">admissions@bennett.edu.in (office)</t>
  </si>
  <si>
    <t xml:space="preserve">LinkedIn posts naming her as leading the admissions team</t>
  </si>
  <si>
    <t xml:space="preserve">Senior university-level admissions leader in NCR.</t>
  </si>
  <si>
    <t xml:space="preserve">Head – Admission</t>
  </si>
  <si>
    <t xml:space="preserve">Jaipuria School of Business, Ghaziabad</t>
  </si>
  <si>
    <t xml:space="preserve">admissions@jaipuria.edu.in (office)</t>
  </si>
  <si>
    <t xml:space="preserve">His LinkedIn 'starting a new position' post (~34 days old)</t>
  </si>
  <si>
    <t xml:space="preserve">Background in admissions CRM (Meritto) – matches JD's CRM requirement.</t>
  </si>
  <si>
    <t xml:space="preserve">LBSIM, Dwarka</t>
  </si>
  <si>
    <t xml:space="preserve">admission@lbsim.ac.in; +91-9811320320</t>
  </si>
  <si>
    <t xml:space="preserve">Official LBSIM admission FAQ + LinkedIn</t>
  </si>
  <si>
    <t xml:space="preserve">In role since Oct 2022.</t>
  </si>
  <si>
    <t xml:space="preserve">Admissions contact person</t>
  </si>
  <si>
    <t xml:space="preserve">JIMS Kalkaji</t>
  </si>
  <si>
    <t xml:space="preserve">admission.kj@jagannath.org; 9868239472</t>
  </si>
  <si>
    <t xml:space="preserve">Careers360 PGDM 2024 notice</t>
  </si>
  <si>
    <t xml:space="preserve">Confirm current role.</t>
  </si>
  <si>
    <t xml:space="preserve">Pawan Singh</t>
  </si>
  <si>
    <t xml:space="preserve">Head of Admissions (now at Manipal Law School, MAHE Bengaluru); earlier with JIMS Rohini</t>
  </si>
  <si>
    <t xml:space="preserve">Manipal Law School, Bengaluru (ex-JIMS Rohini)</t>
  </si>
  <si>
    <t xml:space="preserve">https://www.linkedin.com/in/pawan-singh-51a45067/</t>
  </si>
  <si>
    <t xml:space="preserve">Via LinkedIn</t>
  </si>
  <si>
    <t xml:space="preserve">LinkedIn profile</t>
  </si>
  <si>
    <t xml:space="preserve">Delhi B-school admissions background; a possible candidate for FIIB's open role.</t>
  </si>
  <si>
    <t xml:space="preserve">Dr. Hemendra Gupta</t>
  </si>
  <si>
    <t xml:space="preserve">Professor (Finance) &amp; Chairperson – Admission (2021)</t>
  </si>
  <si>
    <t xml:space="preserve">Search LinkedIn: 'Hemendra Gupta Jaipuria'</t>
  </si>
  <si>
    <t xml:space="preserve">Via institute</t>
  </si>
  <si>
    <t xml:space="preserve">Jaipuria LinkedIn post, PGDM 2021 cycle</t>
  </si>
  <si>
    <t xml:space="preserve">Faculty chair, may not still hold the role.</t>
  </si>
  <si>
    <t xml:space="preserve">Prof. Mohita Maggon</t>
  </si>
  <si>
    <t xml:space="preserve">Faculty In-Charge, Admissions &amp; Career Support – PGDM Online</t>
  </si>
  <si>
    <t xml:space="preserve">MDI Gurgaon</t>
  </si>
  <si>
    <t xml:space="preserve">Search LinkedIn: 'Mohita Maggon MDI'</t>
  </si>
  <si>
    <t xml:space="preserve">MDI LinkedIn post (~9 months old)</t>
  </si>
  <si>
    <t xml:space="preserve">Faculty role for one programme only.</t>
  </si>
  <si>
    <t xml:space="preserve">Summary</t>
  </si>
  <si>
    <t xml:space="preserve">Institutes listed</t>
  </si>
  <si>
    <t xml:space="preserve">  From your list (incl. Ghaziabad)</t>
  </si>
  <si>
    <t xml:space="preserve">  Added competitors</t>
  </si>
  <si>
    <t xml:space="preserve">Admissions head named</t>
  </si>
  <si>
    <t xml:space="preserve">Admissions email available</t>
  </si>
  <si>
    <t xml:space="preserve">Confidence: High</t>
  </si>
  <si>
    <t xml:space="preserve">Confidence: Medium</t>
  </si>
  <si>
    <t xml:space="preserve">Confidence: Low</t>
  </si>
  <si>
    <t xml:space="preserve">Outreach not started</t>
  </si>
  <si>
    <t xml:space="preserve">Named leaders (LinkedIn sheet)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</si>
</sst>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FFEB9C"/>
      </patternFill>
    </fill>
    <fill>
      <patternFill patternType="solid">
        <fgColor rgb="FFFFC7CE"/>
        <bgColor rgb="FFFFEB9C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in.linkedin.com/company/jims-kalkaji" TargetMode="External"/><Relationship Id="rId2" Type="http://schemas.openxmlformats.org/officeDocument/2006/relationships/hyperlink" Target="https://www.linkedin.com/in/jugal-kishore-goyal-8771995b/" TargetMode="External"/><Relationship Id="rId3" Type="http://schemas.openxmlformats.org/officeDocument/2006/relationships/hyperlink" Target="https://www.linkedin.com/in/ndim-delhi-92368b53/" TargetMode="External"/><Relationship Id="rId4" Type="http://schemas.openxmlformats.org/officeDocument/2006/relationships/hyperlink" Target="https://www.linkedin.com/in/dr-aditya-vij-625bb7207/" TargetMode="External"/><Relationship Id="rId5" Type="http://schemas.openxmlformats.org/officeDocument/2006/relationships/hyperlink" Target="https://www.linkedin.com/school/iilm-university/" TargetMode="External"/><Relationship Id="rId6" Type="http://schemas.openxmlformats.org/officeDocument/2006/relationships/hyperlink" Target="https://www.linkedin.com/school/institute-of-management-technology-ghaziabad/" TargetMode="External"/><Relationship Id="rId7" Type="http://schemas.openxmlformats.org/officeDocument/2006/relationships/hyperlink" Target="https://www.linkedin.com/in/imsghaziabadadmissions/" TargetMode="External"/><Relationship Id="rId8" Type="http://schemas.openxmlformats.org/officeDocument/2006/relationships/hyperlink" Target="https://www.linkedin.com/in/siddharth2410/" TargetMode="External"/><Relationship Id="rId9" Type="http://schemas.openxmlformats.org/officeDocument/2006/relationships/hyperlink" Target="https://www.linkedin.com/in/sachinkhera78/" TargetMode="External"/><Relationship Id="rId10" Type="http://schemas.openxmlformats.org/officeDocument/2006/relationships/hyperlink" Target="https://www.linkedin.com/school/international-management-institute/" TargetMode="External"/><Relationship Id="rId11" Type="http://schemas.openxmlformats.org/officeDocument/2006/relationships/hyperlink" Target="https://www.linkedin.com/school/bimtechgnoida/" TargetMode="External"/><Relationship Id="rId12" Type="http://schemas.openxmlformats.org/officeDocument/2006/relationships/hyperlink" Target="https://in.linkedin.com/school/jaipuria-institute-of-management/" TargetMode="External"/><Relationship Id="rId13" Type="http://schemas.openxmlformats.org/officeDocument/2006/relationships/hyperlink" Target="https://www.linkedin.com/in/dsbdelhi/" TargetMode="External"/><Relationship Id="rId14" Type="http://schemas.openxmlformats.org/officeDocument/2006/relationships/hyperlink" Target="https://www.linkedin.com/in/glbimr/" TargetMode="External"/><Relationship Id="rId15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linkedin.com/in/siddharth2410/" TargetMode="External"/><Relationship Id="rId2" Type="http://schemas.openxmlformats.org/officeDocument/2006/relationships/hyperlink" Target="https://www.linkedin.com/in/sachinkhera78/" TargetMode="External"/><Relationship Id="rId3" Type="http://schemas.openxmlformats.org/officeDocument/2006/relationships/hyperlink" Target="https://www.linkedin.com/in/pawan-singh-51a45067/" TargetMode="External"/><Relationship Id="rId4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3.8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1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1" t="s">
        <v>8</v>
      </c>
    </row>
    <row r="12" customFormat="false" ht="23.8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23.8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7" min="6" style="0" width="30"/>
    <col collapsed="false" customWidth="true" hidden="false" outlineLevel="0" max="8" min="8" style="0" width="22"/>
    <col collapsed="false" customWidth="true" hidden="false" outlineLevel="0" max="9" min="9" style="0" width="30"/>
    <col collapsed="false" customWidth="true" hidden="false" outlineLevel="0" max="10" min="10" style="0" width="38"/>
    <col collapsed="false" customWidth="true" hidden="false" outlineLevel="0" max="11" min="11" style="0" width="22"/>
    <col collapsed="false" customWidth="true" hidden="false" outlineLevel="0" max="12" min="12" style="0" width="36"/>
    <col collapsed="false" customWidth="true" hidden="false" outlineLevel="0" max="13" min="13" style="0" width="38"/>
    <col collapsed="false" customWidth="true" hidden="false" outlineLevel="0" max="14" min="14" style="0" width="11"/>
    <col collapsed="false" customWidth="true" hidden="false" outlineLevel="0" max="15" min="15" style="0" width="46"/>
    <col collapsed="false" customWidth="true" hidden="false" outlineLevel="0" max="16" min="16" style="0" width="12"/>
    <col collapsed="false" customWidth="true" hidden="false" outlineLevel="0" max="17" min="17" style="0" width="16"/>
    <col collapsed="false" customWidth="true" hidden="false" outlineLevel="0" max="18" min="18" style="0" width="13"/>
    <col collapsed="false" customWidth="true" hidden="false" outlineLevel="0" max="19" min="19" style="0" width="14"/>
    <col collapsed="false" customWidth="true" hidden="false" outlineLevel="0" max="20" min="20" style="0" width="32"/>
  </cols>
  <sheetData>
    <row r="1" customFormat="false" ht="17.35" hidden="false" customHeight="false" outlineLevel="0" collapsed="false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customFormat="false" ht="15" hidden="false" customHeight="false" outlineLevel="0" collapsed="false">
      <c r="A2" s="4" t="s">
        <v>15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4" customFormat="false" ht="31.5" hidden="false" customHeight="true" outlineLevel="0" collapsed="false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  <c r="I4" s="5" t="s">
        <v>24</v>
      </c>
      <c r="J4" s="5" t="s">
        <v>25</v>
      </c>
      <c r="K4" s="5" t="s">
        <v>26</v>
      </c>
      <c r="L4" s="5" t="s">
        <v>27</v>
      </c>
      <c r="M4" s="5" t="s">
        <v>28</v>
      </c>
      <c r="N4" s="5" t="s">
        <v>29</v>
      </c>
      <c r="O4" s="5" t="s">
        <v>30</v>
      </c>
      <c r="P4" s="5" t="s">
        <v>31</v>
      </c>
      <c r="Q4" s="5" t="s">
        <v>32</v>
      </c>
      <c r="R4" s="5" t="s">
        <v>33</v>
      </c>
      <c r="S4" s="5" t="s">
        <v>34</v>
      </c>
      <c r="T4" s="5" t="s">
        <v>35</v>
      </c>
    </row>
    <row r="5" customFormat="false" ht="35.05" hidden="false" customHeight="false" outlineLevel="0" collapsed="false">
      <c r="A5" s="6" t="n">
        <v>1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8" t="s">
        <v>44</v>
      </c>
      <c r="K5" s="7" t="s">
        <v>45</v>
      </c>
      <c r="L5" s="7" t="s">
        <v>46</v>
      </c>
      <c r="M5" s="7" t="s">
        <v>47</v>
      </c>
      <c r="N5" s="9" t="s">
        <v>48</v>
      </c>
      <c r="O5" s="7" t="s">
        <v>49</v>
      </c>
      <c r="P5" s="7" t="s">
        <v>50</v>
      </c>
      <c r="Q5" s="10" t="s">
        <v>51</v>
      </c>
      <c r="R5" s="10"/>
      <c r="S5" s="10"/>
      <c r="T5" s="10"/>
    </row>
    <row r="6" customFormat="false" ht="46.25" hidden="false" customHeight="false" outlineLevel="0" collapsed="false">
      <c r="A6" s="6" t="n">
        <v>2</v>
      </c>
      <c r="B6" s="7" t="s">
        <v>52</v>
      </c>
      <c r="C6" s="7" t="s">
        <v>53</v>
      </c>
      <c r="D6" s="7" t="s">
        <v>38</v>
      </c>
      <c r="E6" s="7" t="s">
        <v>54</v>
      </c>
      <c r="F6" s="7" t="s">
        <v>55</v>
      </c>
      <c r="G6" s="7" t="s">
        <v>56</v>
      </c>
      <c r="H6" s="7" t="s">
        <v>57</v>
      </c>
      <c r="I6" s="7"/>
      <c r="J6" s="8" t="s">
        <v>58</v>
      </c>
      <c r="K6" s="7" t="s">
        <v>59</v>
      </c>
      <c r="L6" s="7" t="s">
        <v>60</v>
      </c>
      <c r="M6" s="7" t="s">
        <v>61</v>
      </c>
      <c r="N6" s="11" t="s">
        <v>62</v>
      </c>
      <c r="O6" s="7" t="s">
        <v>63</v>
      </c>
      <c r="P6" s="7" t="s">
        <v>50</v>
      </c>
      <c r="Q6" s="10" t="s">
        <v>51</v>
      </c>
      <c r="R6" s="10"/>
      <c r="S6" s="10"/>
      <c r="T6" s="10"/>
    </row>
    <row r="7" customFormat="false" ht="35.05" hidden="false" customHeight="false" outlineLevel="0" collapsed="false">
      <c r="A7" s="6" t="n">
        <v>3</v>
      </c>
      <c r="B7" s="7" t="s">
        <v>36</v>
      </c>
      <c r="C7" s="7" t="s">
        <v>64</v>
      </c>
      <c r="D7" s="7" t="s">
        <v>38</v>
      </c>
      <c r="E7" s="7" t="s">
        <v>54</v>
      </c>
      <c r="F7" s="7" t="s">
        <v>65</v>
      </c>
      <c r="G7" s="7" t="s">
        <v>66</v>
      </c>
      <c r="H7" s="7" t="s">
        <v>67</v>
      </c>
      <c r="I7" s="7" t="s">
        <v>68</v>
      </c>
      <c r="J7" s="7"/>
      <c r="K7" s="7" t="s">
        <v>69</v>
      </c>
      <c r="L7" s="7" t="s">
        <v>70</v>
      </c>
      <c r="M7" s="7" t="s">
        <v>71</v>
      </c>
      <c r="N7" s="11" t="s">
        <v>62</v>
      </c>
      <c r="O7" s="7" t="s">
        <v>72</v>
      </c>
      <c r="P7" s="7" t="s">
        <v>50</v>
      </c>
      <c r="Q7" s="10" t="s">
        <v>51</v>
      </c>
      <c r="R7" s="10"/>
      <c r="S7" s="10"/>
      <c r="T7" s="10"/>
    </row>
    <row r="8" customFormat="false" ht="35.05" hidden="false" customHeight="false" outlineLevel="0" collapsed="false">
      <c r="A8" s="6" t="n">
        <v>4</v>
      </c>
      <c r="B8" s="7" t="s">
        <v>73</v>
      </c>
      <c r="C8" s="7" t="s">
        <v>74</v>
      </c>
      <c r="D8" s="7" t="s">
        <v>38</v>
      </c>
      <c r="E8" s="7" t="s">
        <v>54</v>
      </c>
      <c r="F8" s="7" t="s">
        <v>75</v>
      </c>
      <c r="G8" s="7" t="s">
        <v>76</v>
      </c>
      <c r="H8" s="7" t="s">
        <v>77</v>
      </c>
      <c r="I8" s="7" t="s">
        <v>78</v>
      </c>
      <c r="J8" s="8" t="s">
        <v>79</v>
      </c>
      <c r="K8" s="7" t="s">
        <v>80</v>
      </c>
      <c r="L8" s="7" t="s">
        <v>81</v>
      </c>
      <c r="M8" s="7" t="s">
        <v>82</v>
      </c>
      <c r="N8" s="9" t="s">
        <v>48</v>
      </c>
      <c r="O8" s="7" t="s">
        <v>83</v>
      </c>
      <c r="P8" s="7" t="s">
        <v>50</v>
      </c>
      <c r="Q8" s="10" t="s">
        <v>51</v>
      </c>
      <c r="R8" s="10"/>
      <c r="S8" s="10"/>
      <c r="T8" s="10"/>
    </row>
    <row r="9" customFormat="false" ht="35.05" hidden="false" customHeight="false" outlineLevel="0" collapsed="false">
      <c r="A9" s="6" t="n">
        <v>5</v>
      </c>
      <c r="B9" s="7" t="s">
        <v>84</v>
      </c>
      <c r="C9" s="7" t="s">
        <v>85</v>
      </c>
      <c r="D9" s="7" t="s">
        <v>38</v>
      </c>
      <c r="E9" s="7" t="s">
        <v>86</v>
      </c>
      <c r="F9" s="7" t="s">
        <v>87</v>
      </c>
      <c r="G9" s="7" t="s">
        <v>88</v>
      </c>
      <c r="H9" s="7" t="s">
        <v>89</v>
      </c>
      <c r="I9" s="7" t="s">
        <v>90</v>
      </c>
      <c r="J9" s="7" t="s">
        <v>91</v>
      </c>
      <c r="K9" s="7" t="s">
        <v>92</v>
      </c>
      <c r="L9" s="7" t="s">
        <v>93</v>
      </c>
      <c r="M9" s="7" t="s">
        <v>94</v>
      </c>
      <c r="N9" s="9" t="s">
        <v>48</v>
      </c>
      <c r="O9" s="7" t="s">
        <v>95</v>
      </c>
      <c r="P9" s="7" t="s">
        <v>50</v>
      </c>
      <c r="Q9" s="10" t="s">
        <v>51</v>
      </c>
      <c r="R9" s="10"/>
      <c r="S9" s="10"/>
      <c r="T9" s="10"/>
    </row>
    <row r="10" customFormat="false" ht="35.05" hidden="false" customHeight="false" outlineLevel="0" collapsed="false">
      <c r="A10" s="6" t="n">
        <v>6</v>
      </c>
      <c r="B10" s="7" t="s">
        <v>96</v>
      </c>
      <c r="C10" s="7" t="s">
        <v>97</v>
      </c>
      <c r="D10" s="7" t="s">
        <v>38</v>
      </c>
      <c r="E10" s="7" t="s">
        <v>54</v>
      </c>
      <c r="F10" s="7" t="s">
        <v>98</v>
      </c>
      <c r="G10" s="7" t="s">
        <v>99</v>
      </c>
      <c r="H10" s="7" t="s">
        <v>100</v>
      </c>
      <c r="I10" s="7"/>
      <c r="J10" s="8" t="s">
        <v>101</v>
      </c>
      <c r="K10" s="7" t="s">
        <v>102</v>
      </c>
      <c r="L10" s="7" t="s">
        <v>103</v>
      </c>
      <c r="M10" s="7" t="s">
        <v>104</v>
      </c>
      <c r="N10" s="11" t="s">
        <v>62</v>
      </c>
      <c r="O10" s="7" t="s">
        <v>105</v>
      </c>
      <c r="P10" s="7" t="s">
        <v>50</v>
      </c>
      <c r="Q10" s="10" t="s">
        <v>51</v>
      </c>
      <c r="R10" s="10"/>
      <c r="S10" s="10"/>
      <c r="T10" s="10"/>
    </row>
    <row r="11" customFormat="false" ht="23.85" hidden="false" customHeight="false" outlineLevel="0" collapsed="false">
      <c r="A11" s="6" t="n">
        <v>7</v>
      </c>
      <c r="B11" s="7" t="s">
        <v>106</v>
      </c>
      <c r="C11" s="7" t="s">
        <v>107</v>
      </c>
      <c r="D11" s="7" t="s">
        <v>38</v>
      </c>
      <c r="E11" s="7" t="s">
        <v>54</v>
      </c>
      <c r="F11" s="7" t="s">
        <v>108</v>
      </c>
      <c r="G11" s="7" t="s">
        <v>109</v>
      </c>
      <c r="H11" s="7" t="s">
        <v>110</v>
      </c>
      <c r="I11" s="7" t="s">
        <v>111</v>
      </c>
      <c r="J11" s="8" t="s">
        <v>112</v>
      </c>
      <c r="K11" s="7" t="s">
        <v>113</v>
      </c>
      <c r="L11" s="7" t="s">
        <v>114</v>
      </c>
      <c r="M11" s="7" t="s">
        <v>115</v>
      </c>
      <c r="N11" s="9" t="s">
        <v>48</v>
      </c>
      <c r="O11" s="7" t="s">
        <v>116</v>
      </c>
      <c r="P11" s="7" t="s">
        <v>50</v>
      </c>
      <c r="Q11" s="10" t="s">
        <v>51</v>
      </c>
      <c r="R11" s="10"/>
      <c r="S11" s="10"/>
      <c r="T11" s="10"/>
    </row>
    <row r="12" customFormat="false" ht="23.85" hidden="false" customHeight="false" outlineLevel="0" collapsed="false">
      <c r="A12" s="6" t="n">
        <v>8</v>
      </c>
      <c r="B12" s="7" t="s">
        <v>117</v>
      </c>
      <c r="C12" s="7" t="s">
        <v>118</v>
      </c>
      <c r="D12" s="7" t="s">
        <v>38</v>
      </c>
      <c r="E12" s="7" t="s">
        <v>54</v>
      </c>
      <c r="F12" s="7" t="s">
        <v>108</v>
      </c>
      <c r="G12" s="7" t="s">
        <v>119</v>
      </c>
      <c r="H12" s="7" t="s">
        <v>120</v>
      </c>
      <c r="I12" s="7"/>
      <c r="J12" s="7"/>
      <c r="K12" s="7" t="s">
        <v>121</v>
      </c>
      <c r="L12" s="7" t="s">
        <v>122</v>
      </c>
      <c r="M12" s="7" t="s">
        <v>123</v>
      </c>
      <c r="N12" s="11" t="s">
        <v>62</v>
      </c>
      <c r="O12" s="7" t="s">
        <v>124</v>
      </c>
      <c r="P12" s="7" t="s">
        <v>50</v>
      </c>
      <c r="Q12" s="10" t="s">
        <v>51</v>
      </c>
      <c r="R12" s="10"/>
      <c r="S12" s="10"/>
      <c r="T12" s="10"/>
    </row>
    <row r="13" customFormat="false" ht="35.05" hidden="false" customHeight="false" outlineLevel="0" collapsed="false">
      <c r="A13" s="6" t="n">
        <v>9</v>
      </c>
      <c r="B13" s="7" t="s">
        <v>125</v>
      </c>
      <c r="C13" s="7" t="s">
        <v>126</v>
      </c>
      <c r="D13" s="7" t="s">
        <v>127</v>
      </c>
      <c r="E13" s="7" t="s">
        <v>128</v>
      </c>
      <c r="F13" s="7" t="s">
        <v>129</v>
      </c>
      <c r="G13" s="7" t="s">
        <v>130</v>
      </c>
      <c r="H13" s="7" t="s">
        <v>131</v>
      </c>
      <c r="I13" s="7" t="s">
        <v>132</v>
      </c>
      <c r="J13" s="8" t="s">
        <v>133</v>
      </c>
      <c r="K13" s="7" t="s">
        <v>134</v>
      </c>
      <c r="L13" s="7" t="s">
        <v>135</v>
      </c>
      <c r="M13" s="7" t="s">
        <v>136</v>
      </c>
      <c r="N13" s="9" t="s">
        <v>48</v>
      </c>
      <c r="O13" s="7" t="s">
        <v>137</v>
      </c>
      <c r="P13" s="7" t="s">
        <v>50</v>
      </c>
      <c r="Q13" s="10" t="s">
        <v>51</v>
      </c>
      <c r="R13" s="10"/>
      <c r="S13" s="10"/>
      <c r="T13" s="10"/>
    </row>
    <row r="14" customFormat="false" ht="23.85" hidden="false" customHeight="false" outlineLevel="0" collapsed="false">
      <c r="A14" s="6" t="n">
        <v>10</v>
      </c>
      <c r="B14" s="7" t="s">
        <v>138</v>
      </c>
      <c r="C14" s="7" t="s">
        <v>139</v>
      </c>
      <c r="D14" s="7" t="s">
        <v>127</v>
      </c>
      <c r="E14" s="7" t="s">
        <v>140</v>
      </c>
      <c r="F14" s="7" t="s">
        <v>141</v>
      </c>
      <c r="G14" s="7" t="s">
        <v>142</v>
      </c>
      <c r="H14" s="7" t="s">
        <v>143</v>
      </c>
      <c r="I14" s="7" t="s">
        <v>144</v>
      </c>
      <c r="J14" s="8" t="s">
        <v>145</v>
      </c>
      <c r="K14" s="7" t="s">
        <v>146</v>
      </c>
      <c r="L14" s="7" t="s">
        <v>147</v>
      </c>
      <c r="M14" s="7" t="s">
        <v>148</v>
      </c>
      <c r="N14" s="12" t="s">
        <v>149</v>
      </c>
      <c r="O14" s="7" t="s">
        <v>150</v>
      </c>
      <c r="P14" s="7" t="s">
        <v>50</v>
      </c>
      <c r="Q14" s="10" t="s">
        <v>51</v>
      </c>
      <c r="R14" s="10"/>
      <c r="S14" s="10"/>
      <c r="T14" s="10"/>
    </row>
    <row r="15" customFormat="false" ht="23.85" hidden="false" customHeight="false" outlineLevel="0" collapsed="false">
      <c r="A15" s="6" t="n">
        <v>11</v>
      </c>
      <c r="B15" s="7" t="s">
        <v>151</v>
      </c>
      <c r="C15" s="7" t="s">
        <v>152</v>
      </c>
      <c r="D15" s="7" t="s">
        <v>127</v>
      </c>
      <c r="E15" s="7" t="s">
        <v>153</v>
      </c>
      <c r="F15" s="7" t="s">
        <v>154</v>
      </c>
      <c r="G15" s="7" t="s">
        <v>155</v>
      </c>
      <c r="H15" s="7" t="s">
        <v>156</v>
      </c>
      <c r="I15" s="7" t="s">
        <v>157</v>
      </c>
      <c r="J15" s="8" t="s">
        <v>158</v>
      </c>
      <c r="K15" s="7" t="s">
        <v>159</v>
      </c>
      <c r="L15" s="7" t="s">
        <v>160</v>
      </c>
      <c r="M15" s="7" t="s">
        <v>161</v>
      </c>
      <c r="N15" s="9" t="s">
        <v>48</v>
      </c>
      <c r="O15" s="7" t="s">
        <v>162</v>
      </c>
      <c r="P15" s="7" t="s">
        <v>50</v>
      </c>
      <c r="Q15" s="10" t="s">
        <v>51</v>
      </c>
      <c r="R15" s="10"/>
      <c r="S15" s="10"/>
      <c r="T15" s="10"/>
    </row>
    <row r="16" customFormat="false" ht="35.05" hidden="false" customHeight="false" outlineLevel="0" collapsed="false">
      <c r="A16" s="6" t="n">
        <v>12</v>
      </c>
      <c r="B16" s="7" t="s">
        <v>163</v>
      </c>
      <c r="C16" s="7" t="s">
        <v>164</v>
      </c>
      <c r="D16" s="7" t="s">
        <v>165</v>
      </c>
      <c r="E16" s="7" t="s">
        <v>166</v>
      </c>
      <c r="F16" s="7" t="s">
        <v>167</v>
      </c>
      <c r="G16" s="7" t="s">
        <v>168</v>
      </c>
      <c r="H16" s="7" t="s">
        <v>169</v>
      </c>
      <c r="I16" s="7" t="s">
        <v>170</v>
      </c>
      <c r="J16" s="8" t="s">
        <v>171</v>
      </c>
      <c r="K16" s="7" t="s">
        <v>172</v>
      </c>
      <c r="L16" s="7" t="s">
        <v>173</v>
      </c>
      <c r="M16" s="7" t="s">
        <v>174</v>
      </c>
      <c r="N16" s="12" t="s">
        <v>149</v>
      </c>
      <c r="O16" s="7" t="s">
        <v>175</v>
      </c>
      <c r="P16" s="7" t="s">
        <v>50</v>
      </c>
      <c r="Q16" s="10" t="s">
        <v>51</v>
      </c>
      <c r="R16" s="10"/>
      <c r="S16" s="10"/>
      <c r="T16" s="10"/>
    </row>
    <row r="17" customFormat="false" ht="23.85" hidden="false" customHeight="false" outlineLevel="0" collapsed="false">
      <c r="A17" s="6" t="n">
        <v>13</v>
      </c>
      <c r="B17" s="7" t="s">
        <v>176</v>
      </c>
      <c r="C17" s="7" t="s">
        <v>177</v>
      </c>
      <c r="D17" s="7" t="s">
        <v>165</v>
      </c>
      <c r="E17" s="7" t="s">
        <v>54</v>
      </c>
      <c r="F17" s="7" t="s">
        <v>178</v>
      </c>
      <c r="G17" s="7" t="s">
        <v>179</v>
      </c>
      <c r="H17" s="7" t="s">
        <v>180</v>
      </c>
      <c r="I17" s="7" t="s">
        <v>181</v>
      </c>
      <c r="J17" s="8" t="s">
        <v>182</v>
      </c>
      <c r="K17" s="7" t="s">
        <v>183</v>
      </c>
      <c r="L17" s="7" t="s">
        <v>184</v>
      </c>
      <c r="M17" s="7" t="s">
        <v>185</v>
      </c>
      <c r="N17" s="9" t="s">
        <v>48</v>
      </c>
      <c r="O17" s="7" t="s">
        <v>186</v>
      </c>
      <c r="P17" s="7" t="s">
        <v>50</v>
      </c>
      <c r="Q17" s="10" t="s">
        <v>51</v>
      </c>
      <c r="R17" s="10"/>
      <c r="S17" s="10"/>
      <c r="T17" s="10"/>
    </row>
    <row r="18" customFormat="false" ht="23.85" hidden="false" customHeight="false" outlineLevel="0" collapsed="false">
      <c r="A18" s="6" t="n">
        <v>14</v>
      </c>
      <c r="B18" s="7" t="s">
        <v>187</v>
      </c>
      <c r="C18" s="7" t="s">
        <v>188</v>
      </c>
      <c r="D18" s="7" t="s">
        <v>165</v>
      </c>
      <c r="E18" s="7" t="s">
        <v>54</v>
      </c>
      <c r="F18" s="7" t="s">
        <v>189</v>
      </c>
      <c r="G18" s="7" t="s">
        <v>190</v>
      </c>
      <c r="H18" s="7" t="s">
        <v>191</v>
      </c>
      <c r="I18" s="7" t="s">
        <v>192</v>
      </c>
      <c r="J18" s="8" t="s">
        <v>193</v>
      </c>
      <c r="K18" s="7" t="s">
        <v>194</v>
      </c>
      <c r="L18" s="7" t="s">
        <v>195</v>
      </c>
      <c r="M18" s="7" t="s">
        <v>196</v>
      </c>
      <c r="N18" s="9" t="s">
        <v>48</v>
      </c>
      <c r="O18" s="7"/>
      <c r="P18" s="7" t="s">
        <v>50</v>
      </c>
      <c r="Q18" s="10" t="s">
        <v>51</v>
      </c>
      <c r="R18" s="10"/>
      <c r="S18" s="10"/>
      <c r="T18" s="10"/>
    </row>
    <row r="19" customFormat="false" ht="35.05" hidden="false" customHeight="false" outlineLevel="0" collapsed="false">
      <c r="A19" s="6" t="n">
        <v>15</v>
      </c>
      <c r="B19" s="7" t="s">
        <v>197</v>
      </c>
      <c r="C19" s="7" t="s">
        <v>198</v>
      </c>
      <c r="D19" s="7" t="s">
        <v>165</v>
      </c>
      <c r="E19" s="7" t="s">
        <v>54</v>
      </c>
      <c r="F19" s="7" t="s">
        <v>199</v>
      </c>
      <c r="G19" s="7" t="s">
        <v>200</v>
      </c>
      <c r="H19" s="7" t="s">
        <v>201</v>
      </c>
      <c r="I19" s="7" t="s">
        <v>202</v>
      </c>
      <c r="J19" s="8" t="s">
        <v>203</v>
      </c>
      <c r="K19" s="7" t="s">
        <v>204</v>
      </c>
      <c r="L19" s="7" t="s">
        <v>205</v>
      </c>
      <c r="M19" s="7" t="s">
        <v>206</v>
      </c>
      <c r="N19" s="9" t="s">
        <v>48</v>
      </c>
      <c r="O19" s="7" t="s">
        <v>207</v>
      </c>
      <c r="P19" s="7" t="s">
        <v>50</v>
      </c>
      <c r="Q19" s="10" t="s">
        <v>51</v>
      </c>
      <c r="R19" s="10"/>
      <c r="S19" s="10"/>
      <c r="T19" s="10"/>
    </row>
    <row r="20" customFormat="false" ht="23.85" hidden="false" customHeight="false" outlineLevel="0" collapsed="false">
      <c r="A20" s="6" t="n">
        <v>16</v>
      </c>
      <c r="B20" s="7" t="s">
        <v>208</v>
      </c>
      <c r="C20" s="7" t="s">
        <v>209</v>
      </c>
      <c r="D20" s="7" t="s">
        <v>165</v>
      </c>
      <c r="E20" s="7" t="s">
        <v>54</v>
      </c>
      <c r="F20" s="7" t="s">
        <v>108</v>
      </c>
      <c r="G20" s="7" t="s">
        <v>210</v>
      </c>
      <c r="H20" s="7" t="s">
        <v>211</v>
      </c>
      <c r="I20" s="7" t="s">
        <v>212</v>
      </c>
      <c r="J20" s="7"/>
      <c r="K20" s="7" t="s">
        <v>213</v>
      </c>
      <c r="L20" s="7" t="s">
        <v>214</v>
      </c>
      <c r="M20" s="7" t="s">
        <v>215</v>
      </c>
      <c r="N20" s="9" t="s">
        <v>48</v>
      </c>
      <c r="O20" s="7" t="s">
        <v>216</v>
      </c>
      <c r="P20" s="7" t="s">
        <v>50</v>
      </c>
      <c r="Q20" s="10" t="s">
        <v>51</v>
      </c>
      <c r="R20" s="10"/>
      <c r="S20" s="10"/>
      <c r="T20" s="10"/>
    </row>
    <row r="21" customFormat="false" ht="23.85" hidden="false" customHeight="false" outlineLevel="0" collapsed="false">
      <c r="A21" s="6" t="n">
        <v>17</v>
      </c>
      <c r="B21" s="7" t="s">
        <v>217</v>
      </c>
      <c r="C21" s="7" t="s">
        <v>218</v>
      </c>
      <c r="D21" s="7" t="s">
        <v>165</v>
      </c>
      <c r="E21" s="7" t="s">
        <v>54</v>
      </c>
      <c r="F21" s="7" t="s">
        <v>108</v>
      </c>
      <c r="G21" s="7" t="s">
        <v>219</v>
      </c>
      <c r="H21" s="7" t="s">
        <v>220</v>
      </c>
      <c r="I21" s="7" t="s">
        <v>221</v>
      </c>
      <c r="J21" s="7"/>
      <c r="K21" s="7" t="s">
        <v>222</v>
      </c>
      <c r="L21" s="7" t="s">
        <v>223</v>
      </c>
      <c r="M21" s="7" t="s">
        <v>224</v>
      </c>
      <c r="N21" s="9" t="s">
        <v>48</v>
      </c>
      <c r="O21" s="7"/>
      <c r="P21" s="7" t="s">
        <v>50</v>
      </c>
      <c r="Q21" s="10" t="s">
        <v>51</v>
      </c>
      <c r="R21" s="10"/>
      <c r="S21" s="10"/>
      <c r="T21" s="10"/>
    </row>
    <row r="22" customFormat="false" ht="23.85" hidden="false" customHeight="false" outlineLevel="0" collapsed="false">
      <c r="A22" s="6" t="n">
        <v>18</v>
      </c>
      <c r="B22" s="7" t="s">
        <v>225</v>
      </c>
      <c r="C22" s="7" t="s">
        <v>226</v>
      </c>
      <c r="D22" s="7" t="s">
        <v>165</v>
      </c>
      <c r="E22" s="7" t="s">
        <v>54</v>
      </c>
      <c r="F22" s="7" t="s">
        <v>108</v>
      </c>
      <c r="G22" s="7" t="s">
        <v>227</v>
      </c>
      <c r="H22" s="7" t="s">
        <v>228</v>
      </c>
      <c r="I22" s="7" t="s">
        <v>229</v>
      </c>
      <c r="J22" s="8" t="s">
        <v>230</v>
      </c>
      <c r="K22" s="7" t="s">
        <v>231</v>
      </c>
      <c r="L22" s="7" t="s">
        <v>232</v>
      </c>
      <c r="M22" s="7" t="s">
        <v>233</v>
      </c>
      <c r="N22" s="12" t="s">
        <v>149</v>
      </c>
      <c r="O22" s="7" t="s">
        <v>234</v>
      </c>
      <c r="P22" s="7" t="s">
        <v>50</v>
      </c>
      <c r="Q22" s="10" t="s">
        <v>51</v>
      </c>
      <c r="R22" s="10"/>
      <c r="S22" s="10"/>
      <c r="T22" s="10"/>
    </row>
    <row r="23" customFormat="false" ht="23.85" hidden="false" customHeight="false" outlineLevel="0" collapsed="false">
      <c r="A23" s="6" t="n">
        <v>19</v>
      </c>
      <c r="B23" s="7" t="s">
        <v>235</v>
      </c>
      <c r="C23" s="7" t="s">
        <v>236</v>
      </c>
      <c r="D23" s="7" t="s">
        <v>165</v>
      </c>
      <c r="E23" s="7" t="s">
        <v>54</v>
      </c>
      <c r="F23" s="7" t="s">
        <v>108</v>
      </c>
      <c r="G23" s="7" t="s">
        <v>237</v>
      </c>
      <c r="H23" s="7" t="s">
        <v>238</v>
      </c>
      <c r="I23" s="7" t="s">
        <v>239</v>
      </c>
      <c r="J23" s="8" t="s">
        <v>240</v>
      </c>
      <c r="K23" s="7" t="s">
        <v>241</v>
      </c>
      <c r="L23" s="7" t="s">
        <v>242</v>
      </c>
      <c r="M23" s="7" t="s">
        <v>243</v>
      </c>
      <c r="N23" s="11" t="s">
        <v>62</v>
      </c>
      <c r="O23" s="7" t="s">
        <v>244</v>
      </c>
      <c r="P23" s="7" t="s">
        <v>50</v>
      </c>
      <c r="Q23" s="10" t="s">
        <v>51</v>
      </c>
      <c r="R23" s="10"/>
      <c r="S23" s="10"/>
      <c r="T23" s="10"/>
    </row>
    <row r="24" customFormat="false" ht="23.85" hidden="false" customHeight="false" outlineLevel="0" collapsed="false">
      <c r="A24" s="6" t="n">
        <v>20</v>
      </c>
      <c r="B24" s="7" t="s">
        <v>245</v>
      </c>
      <c r="C24" s="7" t="s">
        <v>246</v>
      </c>
      <c r="D24" s="7" t="s">
        <v>165</v>
      </c>
      <c r="E24" s="7" t="s">
        <v>54</v>
      </c>
      <c r="F24" s="7" t="s">
        <v>108</v>
      </c>
      <c r="G24" s="7" t="s">
        <v>120</v>
      </c>
      <c r="H24" s="7" t="s">
        <v>247</v>
      </c>
      <c r="I24" s="7" t="s">
        <v>248</v>
      </c>
      <c r="J24" s="7"/>
      <c r="K24" s="7" t="s">
        <v>249</v>
      </c>
      <c r="L24" s="7" t="s">
        <v>250</v>
      </c>
      <c r="M24" s="7" t="s">
        <v>251</v>
      </c>
      <c r="N24" s="11" t="s">
        <v>62</v>
      </c>
      <c r="O24" s="7"/>
      <c r="P24" s="7" t="s">
        <v>50</v>
      </c>
      <c r="Q24" s="10" t="s">
        <v>51</v>
      </c>
      <c r="R24" s="10"/>
      <c r="S24" s="10"/>
      <c r="T24" s="10"/>
    </row>
  </sheetData>
  <autoFilter ref="A4:T24"/>
  <mergeCells count="2">
    <mergeCell ref="A1:T1"/>
    <mergeCell ref="A2:T2"/>
  </mergeCells>
  <dataValidations count="1">
    <dataValidation allowBlank="true" errorStyle="stop" operator="between" showDropDown="false" showErrorMessage="false" showInputMessage="false" sqref="Q5:Q24" type="list">
      <formula1>"Not started,Called,Emailed,LinkedIn sent,Connected,Not reachable,Closed"</formula1>
      <formula2>0</formula2>
    </dataValidation>
  </dataValidations>
  <hyperlinks>
    <hyperlink ref="J5" r:id="rId1" display="https://in.linkedin.com/company/jims-kalkaji"/>
    <hyperlink ref="J6" r:id="rId2" display="https://www.linkedin.com/in/jugal-kishore-goyal-8771995b/"/>
    <hyperlink ref="J8" r:id="rId3" display="https://www.linkedin.com/in/ndim-delhi-92368b53/"/>
    <hyperlink ref="J10" r:id="rId4" display="https://www.linkedin.com/in/dr-aditya-vij-625bb7207/"/>
    <hyperlink ref="J11" r:id="rId5" display="https://www.linkedin.com/school/iilm-university/"/>
    <hyperlink ref="J13" r:id="rId6" display="https://www.linkedin.com/school/institute-of-management-technology-ghaziabad/"/>
    <hyperlink ref="J14" r:id="rId7" display="https://www.linkedin.com/in/imsghaziabadadmissions/"/>
    <hyperlink ref="J15" r:id="rId8" display="https://www.linkedin.com/in/siddharth2410/"/>
    <hyperlink ref="J16" r:id="rId9" display="https://www.linkedin.com/in/sachinkhera78/"/>
    <hyperlink ref="J17" r:id="rId10" display="https://www.linkedin.com/school/international-management-institute/"/>
    <hyperlink ref="J18" r:id="rId11" display="https://www.linkedin.com/school/bimtechgnoida/"/>
    <hyperlink ref="J19" r:id="rId12" display="https://in.linkedin.com/school/jaipuria-institute-of-management/"/>
    <hyperlink ref="J22" r:id="rId13" display="https://www.linkedin.com/in/dsbdelhi/"/>
    <hyperlink ref="J23" r:id="rId14" display="https://www.linkedin.com/in/glbimr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40"/>
    <col collapsed="false" customWidth="true" hidden="false" outlineLevel="0" max="6" min="6" style="0" width="34"/>
    <col collapsed="false" customWidth="true" hidden="false" outlineLevel="0" max="7" min="7" style="0" width="40"/>
    <col collapsed="false" customWidth="true" hidden="false" outlineLevel="0" max="8" min="8" style="0" width="11"/>
    <col collapsed="false" customWidth="true" hidden="false" outlineLevel="0" max="9" min="9" style="0" width="44"/>
    <col collapsed="false" customWidth="true" hidden="false" outlineLevel="0" max="10" min="10" style="0" width="16"/>
    <col collapsed="false" customWidth="true" hidden="false" outlineLevel="0" max="11" min="11" style="0" width="30"/>
  </cols>
  <sheetData>
    <row r="1" customFormat="false" ht="17.35" hidden="false" customHeight="false" outlineLevel="0" collapsed="false">
      <c r="A1" s="3" t="s">
        <v>252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false" outlineLevel="0" collapsed="false">
      <c r="A2" s="4" t="s">
        <v>253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customFormat="false" ht="31.5" hidden="false" customHeight="true" outlineLevel="0" collapsed="false">
      <c r="A4" s="5" t="s">
        <v>16</v>
      </c>
      <c r="B4" s="5" t="s">
        <v>254</v>
      </c>
      <c r="C4" s="5" t="s">
        <v>255</v>
      </c>
      <c r="D4" s="5" t="s">
        <v>256</v>
      </c>
      <c r="E4" s="5" t="s">
        <v>25</v>
      </c>
      <c r="F4" s="5" t="s">
        <v>257</v>
      </c>
      <c r="G4" s="5" t="s">
        <v>258</v>
      </c>
      <c r="H4" s="5" t="s">
        <v>29</v>
      </c>
      <c r="I4" s="5" t="s">
        <v>259</v>
      </c>
      <c r="J4" s="5" t="s">
        <v>32</v>
      </c>
      <c r="K4" s="5" t="s">
        <v>260</v>
      </c>
    </row>
    <row r="5" customFormat="false" ht="23.85" hidden="false" customHeight="false" outlineLevel="0" collapsed="false">
      <c r="A5" s="7" t="n">
        <v>1</v>
      </c>
      <c r="B5" s="7" t="s">
        <v>86</v>
      </c>
      <c r="C5" s="7" t="s">
        <v>87</v>
      </c>
      <c r="D5" s="7" t="s">
        <v>261</v>
      </c>
      <c r="E5" s="7" t="s">
        <v>262</v>
      </c>
      <c r="F5" s="7" t="s">
        <v>263</v>
      </c>
      <c r="G5" s="7" t="s">
        <v>264</v>
      </c>
      <c r="H5" s="9" t="s">
        <v>48</v>
      </c>
      <c r="I5" s="7" t="s">
        <v>265</v>
      </c>
      <c r="J5" s="10" t="s">
        <v>51</v>
      </c>
      <c r="K5" s="10"/>
    </row>
    <row r="6" customFormat="false" ht="23.85" hidden="false" customHeight="false" outlineLevel="0" collapsed="false">
      <c r="A6" s="7" t="n">
        <v>2</v>
      </c>
      <c r="B6" s="7" t="s">
        <v>153</v>
      </c>
      <c r="C6" s="7" t="s">
        <v>266</v>
      </c>
      <c r="D6" s="7" t="s">
        <v>267</v>
      </c>
      <c r="E6" s="8" t="s">
        <v>158</v>
      </c>
      <c r="F6" s="7" t="s">
        <v>268</v>
      </c>
      <c r="G6" s="7" t="s">
        <v>269</v>
      </c>
      <c r="H6" s="9" t="s">
        <v>48</v>
      </c>
      <c r="I6" s="7" t="s">
        <v>270</v>
      </c>
      <c r="J6" s="10" t="s">
        <v>51</v>
      </c>
      <c r="K6" s="10"/>
    </row>
    <row r="7" customFormat="false" ht="23.85" hidden="false" customHeight="false" outlineLevel="0" collapsed="false">
      <c r="A7" s="7" t="n">
        <v>3</v>
      </c>
      <c r="B7" s="7" t="s">
        <v>166</v>
      </c>
      <c r="C7" s="7" t="s">
        <v>167</v>
      </c>
      <c r="D7" s="7" t="s">
        <v>271</v>
      </c>
      <c r="E7" s="8" t="s">
        <v>171</v>
      </c>
      <c r="F7" s="7" t="s">
        <v>272</v>
      </c>
      <c r="G7" s="7" t="s">
        <v>273</v>
      </c>
      <c r="H7" s="12" t="s">
        <v>149</v>
      </c>
      <c r="I7" s="7" t="s">
        <v>274</v>
      </c>
      <c r="J7" s="10" t="s">
        <v>51</v>
      </c>
      <c r="K7" s="10"/>
    </row>
    <row r="8" customFormat="false" ht="23.85" hidden="false" customHeight="false" outlineLevel="0" collapsed="false">
      <c r="A8" s="7" t="n">
        <v>4</v>
      </c>
      <c r="B8" s="7" t="s">
        <v>39</v>
      </c>
      <c r="C8" s="7" t="s">
        <v>275</v>
      </c>
      <c r="D8" s="7" t="s">
        <v>276</v>
      </c>
      <c r="E8" s="7" t="s">
        <v>120</v>
      </c>
      <c r="F8" s="7" t="s">
        <v>277</v>
      </c>
      <c r="G8" s="7" t="s">
        <v>278</v>
      </c>
      <c r="H8" s="9" t="s">
        <v>48</v>
      </c>
      <c r="I8" s="7" t="s">
        <v>279</v>
      </c>
      <c r="J8" s="10" t="s">
        <v>51</v>
      </c>
      <c r="K8" s="10"/>
    </row>
    <row r="9" customFormat="false" ht="35.05" hidden="false" customHeight="false" outlineLevel="0" collapsed="false">
      <c r="A9" s="7" t="n">
        <v>5</v>
      </c>
      <c r="B9" s="7" t="s">
        <v>280</v>
      </c>
      <c r="C9" s="7" t="s">
        <v>281</v>
      </c>
      <c r="D9" s="7" t="s">
        <v>282</v>
      </c>
      <c r="E9" s="8" t="s">
        <v>283</v>
      </c>
      <c r="F9" s="7" t="s">
        <v>284</v>
      </c>
      <c r="G9" s="7" t="s">
        <v>285</v>
      </c>
      <c r="H9" s="9" t="s">
        <v>48</v>
      </c>
      <c r="I9" s="7" t="s">
        <v>286</v>
      </c>
      <c r="J9" s="10" t="s">
        <v>51</v>
      </c>
      <c r="K9" s="10"/>
    </row>
    <row r="10" customFormat="false" ht="23.85" hidden="false" customHeight="false" outlineLevel="0" collapsed="false">
      <c r="A10" s="7" t="n">
        <v>6</v>
      </c>
      <c r="B10" s="7" t="s">
        <v>287</v>
      </c>
      <c r="C10" s="7" t="s">
        <v>288</v>
      </c>
      <c r="D10" s="7" t="s">
        <v>197</v>
      </c>
      <c r="E10" s="7" t="s">
        <v>289</v>
      </c>
      <c r="F10" s="7" t="s">
        <v>290</v>
      </c>
      <c r="G10" s="7" t="s">
        <v>291</v>
      </c>
      <c r="H10" s="11" t="s">
        <v>62</v>
      </c>
      <c r="I10" s="7" t="s">
        <v>292</v>
      </c>
      <c r="J10" s="10" t="s">
        <v>51</v>
      </c>
      <c r="K10" s="10"/>
    </row>
    <row r="11" customFormat="false" ht="23.85" hidden="false" customHeight="false" outlineLevel="0" collapsed="false">
      <c r="A11" s="7" t="n">
        <v>7</v>
      </c>
      <c r="B11" s="7" t="s">
        <v>293</v>
      </c>
      <c r="C11" s="7" t="s">
        <v>294</v>
      </c>
      <c r="D11" s="7" t="s">
        <v>295</v>
      </c>
      <c r="E11" s="7" t="s">
        <v>296</v>
      </c>
      <c r="F11" s="7" t="s">
        <v>290</v>
      </c>
      <c r="G11" s="7" t="s">
        <v>297</v>
      </c>
      <c r="H11" s="11" t="s">
        <v>62</v>
      </c>
      <c r="I11" s="7" t="s">
        <v>298</v>
      </c>
      <c r="J11" s="10" t="s">
        <v>51</v>
      </c>
      <c r="K11" s="10"/>
    </row>
  </sheetData>
  <autoFilter ref="A4:K11"/>
  <mergeCells count="2">
    <mergeCell ref="A1:K1"/>
    <mergeCell ref="A2:K2"/>
  </mergeCells>
  <dataValidations count="1">
    <dataValidation allowBlank="true" errorStyle="stop" operator="between" showDropDown="false" showErrorMessage="false" showInputMessage="false" sqref="J5:J11" type="list">
      <formula1>"Not started,LinkedIn sent,Connected,Called,Not interested,In process"</formula1>
      <formula2>0</formula2>
    </dataValidation>
  </dataValidations>
  <hyperlinks>
    <hyperlink ref="E6" r:id="rId1" display="https://www.linkedin.com/in/siddharth2410/"/>
    <hyperlink ref="E7" r:id="rId2" display="https://www.linkedin.com/in/sachinkhera78/"/>
    <hyperlink ref="E9" r:id="rId3" display="https://www.linkedin.com/in/pawan-singh-51a45067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3" t="s">
        <v>299</v>
      </c>
    </row>
    <row r="3" customFormat="false" ht="15" hidden="false" customHeight="false" outlineLevel="0" collapsed="false">
      <c r="A3" s="14" t="s">
        <v>300</v>
      </c>
      <c r="B3" s="15" t="n">
        <f aca="false">COUNTA('Admissions Contacts'!B5:B24)</f>
        <v>20</v>
      </c>
    </row>
    <row r="4" customFormat="false" ht="15" hidden="false" customHeight="false" outlineLevel="0" collapsed="false">
      <c r="A4" s="14" t="s">
        <v>301</v>
      </c>
      <c r="B4" s="15" t="n">
        <f aca="false">COUNTIF('Admissions Contacts'!D5:D24,"Requested*")</f>
        <v>11</v>
      </c>
    </row>
    <row r="5" customFormat="false" ht="15" hidden="false" customHeight="false" outlineLevel="0" collapsed="false">
      <c r="A5" s="14" t="s">
        <v>302</v>
      </c>
      <c r="B5" s="15" t="n">
        <f aca="false">COUNTIF('Admissions Contacts'!D5:D24,"Added competitor")</f>
        <v>9</v>
      </c>
    </row>
    <row r="6" customFormat="false" ht="15" hidden="false" customHeight="false" outlineLevel="0" collapsed="false">
      <c r="A6" s="14" t="s">
        <v>303</v>
      </c>
      <c r="B6" s="15" t="n">
        <f aca="false">COUNTA('Admissions Contacts'!E5:E24)-COUNTIF('Admissions Contacts'!E5:E24,"Not publicly*")-COUNTIF('Admissions Contacts'!E5:E24,"Head – Admissions (name*")</f>
        <v>4</v>
      </c>
    </row>
    <row r="7" customFormat="false" ht="15" hidden="false" customHeight="false" outlineLevel="0" collapsed="false">
      <c r="A7" s="14" t="s">
        <v>304</v>
      </c>
      <c r="B7" s="15" t="n">
        <f aca="false">COUNTIF('Admissions Contacts'!G5:G24,"*@*")</f>
        <v>15</v>
      </c>
    </row>
    <row r="8" customFormat="false" ht="15" hidden="false" customHeight="false" outlineLevel="0" collapsed="false">
      <c r="A8" s="14" t="s">
        <v>305</v>
      </c>
      <c r="B8" s="15" t="n">
        <f aca="false">COUNTIF('Admissions Contacts'!N5:N24,"High")</f>
        <v>3</v>
      </c>
    </row>
    <row r="9" customFormat="false" ht="15" hidden="false" customHeight="false" outlineLevel="0" collapsed="false">
      <c r="A9" s="14" t="s">
        <v>306</v>
      </c>
      <c r="B9" s="15" t="n">
        <f aca="false">COUNTIF('Admissions Contacts'!N5:N24,"Medium")</f>
        <v>11</v>
      </c>
    </row>
    <row r="10" customFormat="false" ht="15" hidden="false" customHeight="false" outlineLevel="0" collapsed="false">
      <c r="A10" s="14" t="s">
        <v>307</v>
      </c>
      <c r="B10" s="15" t="n">
        <f aca="false">COUNTIF('Admissions Contacts'!N5:N24,"Low")</f>
        <v>6</v>
      </c>
    </row>
    <row r="11" customFormat="false" ht="15" hidden="false" customHeight="false" outlineLevel="0" collapsed="false">
      <c r="A11" s="14" t="s">
        <v>308</v>
      </c>
      <c r="B11" s="15" t="n">
        <f aca="false">COUNTIF('Admissions Contacts'!Q5:Q24,"Not started")</f>
        <v>20</v>
      </c>
    </row>
    <row r="12" customFormat="false" ht="15" hidden="false" customHeight="false" outlineLevel="0" collapsed="false">
      <c r="A12" s="14" t="s">
        <v>309</v>
      </c>
      <c r="B12" s="15" t="n">
        <f aca="false">COUNTA('Named Leaders (LinkedIn)'!B5:B11)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2026-10-08T08:09:11Z</dcterms:created>
  <dc:creator>openpyxl</dc:creator>
  <dc:description/>
  <dc:language>en-US</dc:language>
  <cp:lastModifiedBy/>
  <dcterms:modified xsi:type="dcterms:W3CDTF">2026-10-08T08:09:11Z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